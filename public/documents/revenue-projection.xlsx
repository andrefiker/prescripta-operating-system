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eceita" sheetId="2" state="visible" r:id="rId4"/>
    <sheet name="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<sst xmlns="http://schemas.openxmlformats.org/spreadsheetml/2006/main" count="85" uniqueCount="60">
  <si>
    <t xml:space="preserve">Prescripta — Modelo de Receita</t>
  </si>
  <si>
    <t xml:space="preserve">Projeção 12 meses | Inputs em azul</t>
  </si>
  <si>
    <t xml:space="preserve">Mês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</si>
  <si>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</si>
  <si>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</si>
  <si>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</si>
  <si>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</si>
  <si>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</si>
  <si>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</si>
  <si>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</si>
  <si>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</si>
  <si>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</si>
  <si>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Mês 10</t>
  </si>
  <si>
    <t xml:space="preserve">Mês 11</t>
  </si>
  <si>
    <t xml:space="preserve">Mês 12</t>
  </si>
  <si>
    <t xml:space="preserve">NOVAS CONTAS POR PLANO</t>
  </si>
  <si>
    <t xml:space="preserve">Start Solo (novas)</t>
  </si>
  <si>
    <t xml:space="preserve">Pro Consultório (novas)</t>
  </si>
  <si>
    <t xml:space="preserve">Clínica (novas)</t>
  </si>
  <si>
    <t xml:space="preserve">Total novas contas</t>
  </si>
  <si>
    <t xml:space="preserve">CHURN E RETENÇÃO</t>
  </si>
  <si>
    <t xml:space="preserve">Churn mensal (%)</t>
  </si>
  <si>
    <t xml:space="preserve">PRICING</t>
  </si>
  <si>
    <t xml:space="preserve">Start Solo — Mensal (R$)</t>
  </si>
  <si>
    <t xml:space="preserve">Start Solo — Setup (R$)</t>
  </si>
  <si>
    <t xml:space="preserve">Pro Consultório — Mensal (R$)</t>
  </si>
  <si>
    <t xml:space="preserve">Pro Consultório — Setup (R$)</t>
  </si>
  <si>
    <t xml:space="preserve">Clínica — Mensal (R$)</t>
  </si>
  <si>
    <t xml:space="preserve">Clínica — Setup (R$)</t>
  </si>
  <si>
    <t xml:space="preserve">Prescripta — Projeção de Receita</t>
  </si>
  <si>
    <t xml:space="preserve">CONTAS ATIVAS ACUMULADAS</t>
  </si>
  <si>
    <t xml:space="preserve">Start Solo — ativas</t>
  </si>
  <si>
    <t xml:space="preserve">Pro Consultório — ativas</t>
  </si>
  <si>
    <t xml:space="preserve">Clínica — ativas</t>
  </si>
  <si>
    <t xml:space="preserve">Total contas ativas</t>
  </si>
  <si>
    <t xml:space="preserve">MRR POR PLANO</t>
  </si>
  <si>
    <t xml:space="preserve">MRR Start Solo</t>
  </si>
  <si>
    <t xml:space="preserve">MRR Pro Consultório</t>
  </si>
  <si>
    <t xml:space="preserve">MRR Clínica</t>
  </si>
  <si>
    <t xml:space="preserve">MRR Total</t>
  </si>
  <si>
    <t xml:space="preserve">RECEITA DE SETUP</t>
  </si>
  <si>
    <t xml:space="preserve">Setup Start Solo</t>
  </si>
  <si>
    <t xml:space="preserve">Setup Pro Consultório</t>
  </si>
  <si>
    <t xml:space="preserve">Setup Clínica</t>
  </si>
  <si>
    <t xml:space="preserve">Setup Total</t>
  </si>
  <si>
    <t xml:space="preserve">RECEITA TOTAL MENSAL</t>
  </si>
  <si>
    <t xml:space="preserve">RECEITA ACUMULADA</t>
  </si>
  <si>
    <t xml:space="preserve">ARR (MRR x 12)</t>
  </si>
  <si>
    <t xml:space="preserve">Scorecard Executivo</t>
  </si>
  <si>
    <t xml:space="preserve">KPI</t>
  </si>
  <si>
    <t xml:space="preserve">MRR Novo (R$)</t>
  </si>
  <si>
    <t xml:space="preserve">Setup Fechado (R$)</t>
  </si>
  <si>
    <t xml:space="preserve">Discovery Calls</t>
  </si>
  <si>
    <t xml:space="preserve">Demos Realizadas</t>
  </si>
  <si>
    <t xml:space="preserve">Propostas Enviadas</t>
  </si>
  <si>
    <t xml:space="preserve">Deals Fechados</t>
  </si>
  <si>
    <t xml:space="preserve">Ciclo Médio (dias)</t>
  </si>
  <si>
    <t xml:space="preserve">Ativação em 30 dias (%)</t>
  </si>
  <si>
    <t xml:space="preserve">Churn (contas)</t>
  </si>
  <si>
    <t xml:space="preserve">NPS / Satisfação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</si>
</sst>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"/>
    <numFmt numFmtId="168" formatCode="&quot;R$ &quot;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65D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A365D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A365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EBF4FF"/>
        <bgColor rgb="FFFFFFFF"/>
      </patternFill>
    </fill>
    <fill>
      <patternFill patternType="solid">
        <fgColor rgb="FFD5F5E3"/>
        <bgColor rgb="FFEBF4FF"/>
      </patternFill>
    </fill>
    <fill>
      <patternFill patternType="solid">
        <fgColor rgb="FFBEE3F8"/>
        <bgColor rgb="FFCBD5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4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EE3F8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6" customFormat="false" ht="15" hidden="false" customHeight="false" outlineLevel="0" collapsed="false">
      <c r="A6" s="5" t="s">
        <v>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6" t="s">
        <v>16</v>
      </c>
      <c r="B7" s="7" t="n">
        <v>2</v>
      </c>
      <c r="C7" s="7" t="n">
        <v>3</v>
      </c>
      <c r="D7" s="7" t="n">
        <v>3</v>
      </c>
      <c r="E7" s="7" t="n">
        <v>4</v>
      </c>
      <c r="F7" s="7" t="n">
        <v>4</v>
      </c>
      <c r="G7" s="7" t="n">
        <v>5</v>
      </c>
      <c r="H7" s="7" t="n">
        <v>5</v>
      </c>
      <c r="I7" s="7" t="n">
        <v>6</v>
      </c>
      <c r="J7" s="7" t="n">
        <v>6</v>
      </c>
      <c r="K7" s="7" t="n">
        <v>7</v>
      </c>
      <c r="L7" s="7" t="n">
        <v>7</v>
      </c>
      <c r="M7" s="7" t="n">
        <v>8</v>
      </c>
    </row>
    <row r="8" customFormat="false" ht="15" hidden="false" customHeight="false" outlineLevel="0" collapsed="false">
      <c r="A8" s="6" t="s">
        <v>17</v>
      </c>
      <c r="B8" s="7" t="n">
        <v>1</v>
      </c>
      <c r="C8" s="7" t="n">
        <v>1</v>
      </c>
      <c r="D8" s="7" t="n">
        <v>2</v>
      </c>
      <c r="E8" s="7" t="n">
        <v>2</v>
      </c>
      <c r="F8" s="7" t="n">
        <v>2</v>
      </c>
      <c r="G8" s="7" t="n">
        <v>3</v>
      </c>
      <c r="H8" s="7" t="n">
        <v>3</v>
      </c>
      <c r="I8" s="7" t="n">
        <v>3</v>
      </c>
      <c r="J8" s="7" t="n">
        <v>4</v>
      </c>
      <c r="K8" s="7" t="n">
        <v>4</v>
      </c>
      <c r="L8" s="7" t="n">
        <v>4</v>
      </c>
      <c r="M8" s="7" t="n">
        <v>5</v>
      </c>
    </row>
    <row r="9" customFormat="false" ht="15" hidden="false" customHeight="false" outlineLevel="0" collapsed="false">
      <c r="A9" s="6" t="s">
        <v>18</v>
      </c>
      <c r="B9" s="7" t="n">
        <v>0</v>
      </c>
      <c r="C9" s="7" t="n">
        <v>0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1</v>
      </c>
      <c r="I9" s="7" t="n">
        <v>2</v>
      </c>
      <c r="J9" s="7" t="n">
        <v>2</v>
      </c>
      <c r="K9" s="7" t="n">
        <v>2</v>
      </c>
      <c r="L9" s="7" t="n">
        <v>2</v>
      </c>
      <c r="M9" s="7" t="n">
        <v>3</v>
      </c>
    </row>
    <row r="10" customFormat="false" ht="15" hidden="false" customHeight="false" outlineLevel="0" collapsed="false">
      <c r="A10" s="8" t="s">
        <v>19</v>
      </c>
      <c r="B10" s="9" t="n">
        <f aca="false">B7+B8+B9</f>
        <v>3</v>
      </c>
      <c r="C10" s="9" t="n">
        <f aca="false">C7+C8+C9</f>
        <v>4</v>
      </c>
      <c r="D10" s="9" t="n">
        <f aca="false">D7+D8+D9</f>
        <v>6</v>
      </c>
      <c r="E10" s="9" t="n">
        <f aca="false">E7+E8+E9</f>
        <v>7</v>
      </c>
      <c r="F10" s="9" t="n">
        <f aca="false">F7+F8+F9</f>
        <v>7</v>
      </c>
      <c r="G10" s="9" t="n">
        <f aca="false">G7+G8+G9</f>
        <v>9</v>
      </c>
      <c r="H10" s="9" t="n">
        <f aca="false">H7+H8+H9</f>
        <v>9</v>
      </c>
      <c r="I10" s="9" t="n">
        <f aca="false">I7+I8+I9</f>
        <v>11</v>
      </c>
      <c r="J10" s="9" t="n">
        <f aca="false">J7+J8+J9</f>
        <v>12</v>
      </c>
      <c r="K10" s="9" t="n">
        <f aca="false">K7+K8+K9</f>
        <v>13</v>
      </c>
      <c r="L10" s="9" t="n">
        <f aca="false">L7+L8+L9</f>
        <v>13</v>
      </c>
      <c r="M10" s="9" t="n">
        <f aca="false">M7+M8+M9</f>
        <v>16</v>
      </c>
    </row>
    <row r="12" customFormat="false" ht="15" hidden="false" customHeight="false" outlineLevel="0" collapsed="false">
      <c r="A12" s="5" t="s">
        <v>20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6" t="s">
        <v>21</v>
      </c>
      <c r="B13" s="10" t="n">
        <v>0</v>
      </c>
      <c r="C13" s="10" t="n">
        <v>0</v>
      </c>
      <c r="D13" s="10" t="n">
        <v>0.05</v>
      </c>
      <c r="E13" s="10" t="n">
        <v>0.05</v>
      </c>
      <c r="F13" s="10" t="n">
        <v>0.05</v>
      </c>
      <c r="G13" s="10" t="n">
        <v>0.05</v>
      </c>
      <c r="H13" s="10" t="n">
        <v>0.05</v>
      </c>
      <c r="I13" s="10" t="n">
        <v>0.05</v>
      </c>
      <c r="J13" s="10" t="n">
        <v>0.05</v>
      </c>
      <c r="K13" s="10" t="n">
        <v>0.05</v>
      </c>
      <c r="L13" s="10" t="n">
        <v>0.05</v>
      </c>
      <c r="M13" s="10" t="n">
        <v>0.05</v>
      </c>
    </row>
    <row r="15" customFormat="false" ht="15" hidden="false" customHeight="false" outlineLevel="0" collapsed="false">
      <c r="A15" s="5" t="s">
        <v>22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6" t="s">
        <v>23</v>
      </c>
      <c r="B16" s="11" t="n">
        <v>349</v>
      </c>
    </row>
    <row r="17" customFormat="false" ht="15" hidden="false" customHeight="false" outlineLevel="0" collapsed="false">
      <c r="A17" s="6" t="s">
        <v>24</v>
      </c>
      <c r="B17" s="11" t="n">
        <v>0</v>
      </c>
    </row>
    <row r="18" customFormat="false" ht="15" hidden="false" customHeight="false" outlineLevel="0" collapsed="false">
      <c r="A18" s="6" t="s">
        <v>25</v>
      </c>
      <c r="B18" s="11" t="n">
        <v>990</v>
      </c>
    </row>
    <row r="19" customFormat="false" ht="15" hidden="false" customHeight="false" outlineLevel="0" collapsed="false">
      <c r="A19" s="6" t="s">
        <v>26</v>
      </c>
      <c r="B19" s="11" t="n">
        <v>1500</v>
      </c>
    </row>
    <row r="20" customFormat="false" ht="15" hidden="false" customHeight="false" outlineLevel="0" collapsed="false">
      <c r="A20" s="6" t="s">
        <v>27</v>
      </c>
      <c r="B20" s="11" t="n">
        <v>2490</v>
      </c>
    </row>
    <row r="21" customFormat="false" ht="15" hidden="false" customHeight="false" outlineLevel="0" collapsed="false">
      <c r="A21" s="6" t="s">
        <v>28</v>
      </c>
      <c r="B21" s="11" t="n">
        <v>4500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5" customFormat="false" ht="15" hidden="false" customHeight="false" outlineLevel="0" collapsed="false">
      <c r="A5" s="5" t="s">
        <v>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6" t="s">
        <v>31</v>
      </c>
      <c r="B6" s="12" t="n">
        <f aca="false">Premissas!B7</f>
        <v>2</v>
      </c>
      <c r="C6" s="12" t="n">
        <f aca="false">ROUND(B6*(1-Premissas!C13)+Premissas!C7,0)</f>
        <v>5</v>
      </c>
      <c r="D6" s="12" t="n">
        <f aca="false">ROUND(C6*(1-Premissas!D13)+Premissas!D7,0)</f>
        <v>8</v>
      </c>
      <c r="E6" s="12" t="n">
        <f aca="false">ROUND(D6*(1-Premissas!E13)+Premissas!E7,0)</f>
        <v>12</v>
      </c>
      <c r="F6" s="12" t="n">
        <f aca="false">ROUND(E6*(1-Premissas!F13)+Premissas!F7,0)</f>
        <v>15</v>
      </c>
      <c r="G6" s="12" t="n">
        <f aca="false">ROUND(F6*(1-Premissas!G13)+Premissas!G7,0)</f>
        <v>19</v>
      </c>
      <c r="H6" s="12" t="n">
        <f aca="false">ROUND(G6*(1-Premissas!H13)+Premissas!H7,0)</f>
        <v>23</v>
      </c>
      <c r="I6" s="12" t="n">
        <f aca="false">ROUND(H6*(1-Premissas!I13)+Premissas!I7,0)</f>
        <v>28</v>
      </c>
      <c r="J6" s="12" t="n">
        <f aca="false">ROUND(I6*(1-Premissas!J13)+Premissas!J7,0)</f>
        <v>33</v>
      </c>
      <c r="K6" s="12" t="n">
        <f aca="false">ROUND(J6*(1-Premissas!K13)+Premissas!K7,0)</f>
        <v>38</v>
      </c>
      <c r="L6" s="12" t="n">
        <f aca="false">ROUND(K6*(1-Premissas!L13)+Premissas!L7,0)</f>
        <v>43</v>
      </c>
      <c r="M6" s="12" t="n">
        <f aca="false">ROUND(L6*(1-Premissas!M13)+Premissas!M7,0)</f>
        <v>49</v>
      </c>
    </row>
    <row r="7" customFormat="false" ht="15" hidden="false" customHeight="false" outlineLevel="0" collapsed="false">
      <c r="A7" s="6" t="s">
        <v>32</v>
      </c>
      <c r="B7" s="12" t="n">
        <f aca="false">Premissas!B8</f>
        <v>1</v>
      </c>
      <c r="C7" s="12" t="n">
        <f aca="false">ROUND(B7*(1-Premissas!C13)+Premissas!C8,0)</f>
        <v>2</v>
      </c>
      <c r="D7" s="12" t="n">
        <f aca="false">ROUND(C7*(1-Premissas!D13)+Premissas!D8,0)</f>
        <v>4</v>
      </c>
      <c r="E7" s="12" t="n">
        <f aca="false">ROUND(D7*(1-Premissas!E13)+Premissas!E8,0)</f>
        <v>6</v>
      </c>
      <c r="F7" s="12" t="n">
        <f aca="false">ROUND(E7*(1-Premissas!F13)+Premissas!F8,0)</f>
        <v>8</v>
      </c>
      <c r="G7" s="12" t="n">
        <f aca="false">ROUND(F7*(1-Premissas!G13)+Premissas!G8,0)</f>
        <v>11</v>
      </c>
      <c r="H7" s="12" t="n">
        <f aca="false">ROUND(G7*(1-Premissas!H13)+Premissas!H8,0)</f>
        <v>13</v>
      </c>
      <c r="I7" s="12" t="n">
        <f aca="false">ROUND(H7*(1-Premissas!I13)+Premissas!I8,0)</f>
        <v>15</v>
      </c>
      <c r="J7" s="12" t="n">
        <f aca="false">ROUND(I7*(1-Premissas!J13)+Premissas!J8,0)</f>
        <v>18</v>
      </c>
      <c r="K7" s="12" t="n">
        <f aca="false">ROUND(J7*(1-Premissas!K13)+Premissas!K8,0)</f>
        <v>21</v>
      </c>
      <c r="L7" s="12" t="n">
        <f aca="false">ROUND(K7*(1-Premissas!L13)+Premissas!L8,0)</f>
        <v>24</v>
      </c>
      <c r="M7" s="12" t="n">
        <f aca="false">ROUND(L7*(1-Premissas!M13)+Premissas!M8,0)</f>
        <v>28</v>
      </c>
    </row>
    <row r="8" customFormat="false" ht="15" hidden="false" customHeight="false" outlineLevel="0" collapsed="false">
      <c r="A8" s="6" t="s">
        <v>33</v>
      </c>
      <c r="B8" s="12" t="n">
        <f aca="false">Premissas!B9</f>
        <v>0</v>
      </c>
      <c r="C8" s="12" t="n">
        <f aca="false">ROUND(B8*(1-Premissas!C13)+Premissas!C9,0)</f>
        <v>0</v>
      </c>
      <c r="D8" s="12" t="n">
        <f aca="false">ROUND(C8*(1-Premissas!D13)+Premissas!D9,0)</f>
        <v>1</v>
      </c>
      <c r="E8" s="12" t="n">
        <f aca="false">ROUND(D8*(1-Premissas!E13)+Premissas!E9,0)</f>
        <v>2</v>
      </c>
      <c r="F8" s="12" t="n">
        <f aca="false">ROUND(E8*(1-Premissas!F13)+Premissas!F9,0)</f>
        <v>3</v>
      </c>
      <c r="G8" s="12" t="n">
        <f aca="false">ROUND(F8*(1-Premissas!G13)+Premissas!G9,0)</f>
        <v>4</v>
      </c>
      <c r="H8" s="12" t="n">
        <f aca="false">ROUND(G8*(1-Premissas!H13)+Premissas!H9,0)</f>
        <v>5</v>
      </c>
      <c r="I8" s="12" t="n">
        <f aca="false">ROUND(H8*(1-Premissas!I13)+Premissas!I9,0)</f>
        <v>7</v>
      </c>
      <c r="J8" s="12" t="n">
        <f aca="false">ROUND(I8*(1-Premissas!J13)+Premissas!J9,0)</f>
        <v>9</v>
      </c>
      <c r="K8" s="12" t="n">
        <f aca="false">ROUND(J8*(1-Premissas!K13)+Premissas!K9,0)</f>
        <v>11</v>
      </c>
      <c r="L8" s="12" t="n">
        <f aca="false">ROUND(K8*(1-Premissas!L13)+Premissas!L9,0)</f>
        <v>12</v>
      </c>
      <c r="M8" s="12" t="n">
        <f aca="false">ROUND(L8*(1-Premissas!M13)+Premissas!M9,0)</f>
        <v>14</v>
      </c>
    </row>
    <row r="9" customFormat="false" ht="15" hidden="false" customHeight="false" outlineLevel="0" collapsed="false">
      <c r="A9" s="8" t="s">
        <v>34</v>
      </c>
      <c r="B9" s="13" t="n">
        <f aca="false">B6+B7+B8</f>
        <v>3</v>
      </c>
      <c r="C9" s="13" t="n">
        <f aca="false">C6+C7+C8</f>
        <v>7</v>
      </c>
      <c r="D9" s="13" t="n">
        <f aca="false">D6+D7+D8</f>
        <v>13</v>
      </c>
      <c r="E9" s="13" t="n">
        <f aca="false">E6+E7+E8</f>
        <v>20</v>
      </c>
      <c r="F9" s="13" t="n">
        <f aca="false">F6+F7+F8</f>
        <v>26</v>
      </c>
      <c r="G9" s="13" t="n">
        <f aca="false">G6+G7+G8</f>
        <v>34</v>
      </c>
      <c r="H9" s="13" t="n">
        <f aca="false">H6+H7+H8</f>
        <v>41</v>
      </c>
      <c r="I9" s="13" t="n">
        <f aca="false">I6+I7+I8</f>
        <v>50</v>
      </c>
      <c r="J9" s="13" t="n">
        <f aca="false">J6+J7+J8</f>
        <v>60</v>
      </c>
      <c r="K9" s="13" t="n">
        <f aca="false">K6+K7+K8</f>
        <v>70</v>
      </c>
      <c r="L9" s="13" t="n">
        <f aca="false">L6+L7+L8</f>
        <v>79</v>
      </c>
      <c r="M9" s="13" t="n">
        <f aca="false">M6+M7+M8</f>
        <v>91</v>
      </c>
    </row>
    <row r="11" customFormat="false" ht="15" hidden="false" customHeight="false" outlineLevel="0" collapsed="false">
      <c r="A11" s="5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6" t="s">
        <v>36</v>
      </c>
      <c r="B12" s="14" t="n">
        <f aca="false">B6*Premissas!$B$16</f>
        <v>698</v>
      </c>
      <c r="C12" s="14" t="n">
        <f aca="false">C6*Premissas!$B$16</f>
        <v>1745</v>
      </c>
      <c r="D12" s="14" t="n">
        <f aca="false">D6*Premissas!$B$16</f>
        <v>2792</v>
      </c>
      <c r="E12" s="14" t="n">
        <f aca="false">E6*Premissas!$B$16</f>
        <v>4188</v>
      </c>
      <c r="F12" s="14" t="n">
        <f aca="false">F6*Premissas!$B$16</f>
        <v>5235</v>
      </c>
      <c r="G12" s="14" t="n">
        <f aca="false">G6*Premissas!$B$16</f>
        <v>6631</v>
      </c>
      <c r="H12" s="14" t="n">
        <f aca="false">H6*Premissas!$B$16</f>
        <v>8027</v>
      </c>
      <c r="I12" s="14" t="n">
        <f aca="false">I6*Premissas!$B$16</f>
        <v>9772</v>
      </c>
      <c r="J12" s="14" t="n">
        <f aca="false">J6*Premissas!$B$16</f>
        <v>11517</v>
      </c>
      <c r="K12" s="14" t="n">
        <f aca="false">K6*Premissas!$B$16</f>
        <v>13262</v>
      </c>
      <c r="L12" s="14" t="n">
        <f aca="false">L6*Premissas!$B$16</f>
        <v>15007</v>
      </c>
      <c r="M12" s="14" t="n">
        <f aca="false">M6*Premissas!$B$16</f>
        <v>17101</v>
      </c>
    </row>
    <row r="13" customFormat="false" ht="15" hidden="false" customHeight="false" outlineLevel="0" collapsed="false">
      <c r="A13" s="6" t="s">
        <v>37</v>
      </c>
      <c r="B13" s="14" t="n">
        <f aca="false">B7*Premissas!$B$18</f>
        <v>990</v>
      </c>
      <c r="C13" s="14" t="n">
        <f aca="false">C7*Premissas!$B$18</f>
        <v>1980</v>
      </c>
      <c r="D13" s="14" t="n">
        <f aca="false">D7*Premissas!$B$18</f>
        <v>3960</v>
      </c>
      <c r="E13" s="14" t="n">
        <f aca="false">E7*Premissas!$B$18</f>
        <v>5940</v>
      </c>
      <c r="F13" s="14" t="n">
        <f aca="false">F7*Premissas!$B$18</f>
        <v>7920</v>
      </c>
      <c r="G13" s="14" t="n">
        <f aca="false">G7*Premissas!$B$18</f>
        <v>10890</v>
      </c>
      <c r="H13" s="14" t="n">
        <f aca="false">H7*Premissas!$B$18</f>
        <v>12870</v>
      </c>
      <c r="I13" s="14" t="n">
        <f aca="false">I7*Premissas!$B$18</f>
        <v>14850</v>
      </c>
      <c r="J13" s="14" t="n">
        <f aca="false">J7*Premissas!$B$18</f>
        <v>17820</v>
      </c>
      <c r="K13" s="14" t="n">
        <f aca="false">K7*Premissas!$B$18</f>
        <v>20790</v>
      </c>
      <c r="L13" s="14" t="n">
        <f aca="false">L7*Premissas!$B$18</f>
        <v>23760</v>
      </c>
      <c r="M13" s="14" t="n">
        <f aca="false">M7*Premissas!$B$18</f>
        <v>27720</v>
      </c>
    </row>
    <row r="14" customFormat="false" ht="15" hidden="false" customHeight="false" outlineLevel="0" collapsed="false">
      <c r="A14" s="6" t="s">
        <v>38</v>
      </c>
      <c r="B14" s="14" t="n">
        <f aca="false">B8*Premissas!$B$20</f>
        <v>0</v>
      </c>
      <c r="C14" s="14" t="n">
        <f aca="false">C8*Premissas!$B$20</f>
        <v>0</v>
      </c>
      <c r="D14" s="14" t="n">
        <f aca="false">D8*Premissas!$B$20</f>
        <v>2490</v>
      </c>
      <c r="E14" s="14" t="n">
        <f aca="false">E8*Premissas!$B$20</f>
        <v>4980</v>
      </c>
      <c r="F14" s="14" t="n">
        <f aca="false">F8*Premissas!$B$20</f>
        <v>7470</v>
      </c>
      <c r="G14" s="14" t="n">
        <f aca="false">G8*Premissas!$B$20</f>
        <v>9960</v>
      </c>
      <c r="H14" s="14" t="n">
        <f aca="false">H8*Premissas!$B$20</f>
        <v>12450</v>
      </c>
      <c r="I14" s="14" t="n">
        <f aca="false">I8*Premissas!$B$20</f>
        <v>17430</v>
      </c>
      <c r="J14" s="14" t="n">
        <f aca="false">J8*Premissas!$B$20</f>
        <v>22410</v>
      </c>
      <c r="K14" s="14" t="n">
        <f aca="false">K8*Premissas!$B$20</f>
        <v>27390</v>
      </c>
      <c r="L14" s="14" t="n">
        <f aca="false">L8*Premissas!$B$20</f>
        <v>29880</v>
      </c>
      <c r="M14" s="14" t="n">
        <f aca="false">M8*Premissas!$B$20</f>
        <v>34860</v>
      </c>
    </row>
    <row r="15" customFormat="false" ht="15" hidden="false" customHeight="false" outlineLevel="0" collapsed="false">
      <c r="A15" s="15" t="s">
        <v>39</v>
      </c>
      <c r="B15" s="16" t="n">
        <f aca="false">B12+B13+B14</f>
        <v>1688</v>
      </c>
      <c r="C15" s="16" t="n">
        <f aca="false">C12+C13+C14</f>
        <v>3725</v>
      </c>
      <c r="D15" s="16" t="n">
        <f aca="false">D12+D13+D14</f>
        <v>9242</v>
      </c>
      <c r="E15" s="16" t="n">
        <f aca="false">E12+E13+E14</f>
        <v>15108</v>
      </c>
      <c r="F15" s="16" t="n">
        <f aca="false">F12+F13+F14</f>
        <v>20625</v>
      </c>
      <c r="G15" s="16" t="n">
        <f aca="false">G12+G13+G14</f>
        <v>27481</v>
      </c>
      <c r="H15" s="16" t="n">
        <f aca="false">H12+H13+H14</f>
        <v>33347</v>
      </c>
      <c r="I15" s="16" t="n">
        <f aca="false">I12+I13+I14</f>
        <v>42052</v>
      </c>
      <c r="J15" s="16" t="n">
        <f aca="false">J12+J13+J14</f>
        <v>51747</v>
      </c>
      <c r="K15" s="16" t="n">
        <f aca="false">K12+K13+K14</f>
        <v>61442</v>
      </c>
      <c r="L15" s="16" t="n">
        <f aca="false">L12+L13+L14</f>
        <v>68647</v>
      </c>
      <c r="M15" s="16" t="n">
        <f aca="false">M12+M13+M14</f>
        <v>79681</v>
      </c>
    </row>
    <row r="17" customFormat="false" ht="15" hidden="false" customHeight="false" outlineLevel="0" collapsed="false">
      <c r="A17" s="5" t="s">
        <v>40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6" t="s">
        <v>41</v>
      </c>
      <c r="B18" s="14" t="n">
        <f aca="false">Premissas!B7*Premissas!$B$17</f>
        <v>0</v>
      </c>
      <c r="C18" s="14" t="n">
        <f aca="false">Premissas!C7*Premissas!$B$17</f>
        <v>0</v>
      </c>
      <c r="D18" s="14" t="n">
        <f aca="false">Premissas!D7*Premissas!$B$17</f>
        <v>0</v>
      </c>
      <c r="E18" s="14" t="n">
        <f aca="false">Premissas!E7*Premissas!$B$17</f>
        <v>0</v>
      </c>
      <c r="F18" s="14" t="n">
        <f aca="false">Premissas!F7*Premissas!$B$17</f>
        <v>0</v>
      </c>
      <c r="G18" s="14" t="n">
        <f aca="false">Premissas!G7*Premissas!$B$17</f>
        <v>0</v>
      </c>
      <c r="H18" s="14" t="n">
        <f aca="false">Premissas!H7*Premissas!$B$17</f>
        <v>0</v>
      </c>
      <c r="I18" s="14" t="n">
        <f aca="false">Premissas!I7*Premissas!$B$17</f>
        <v>0</v>
      </c>
      <c r="J18" s="14" t="n">
        <f aca="false">Premissas!J7*Premissas!$B$17</f>
        <v>0</v>
      </c>
      <c r="K18" s="14" t="n">
        <f aca="false">Premissas!K7*Premissas!$B$17</f>
        <v>0</v>
      </c>
      <c r="L18" s="14" t="n">
        <f aca="false">Premissas!L7*Premissas!$B$17</f>
        <v>0</v>
      </c>
      <c r="M18" s="14" t="n">
        <f aca="false">Premissas!M7*Premissas!$B$17</f>
        <v>0</v>
      </c>
    </row>
    <row r="19" customFormat="false" ht="15" hidden="false" customHeight="false" outlineLevel="0" collapsed="false">
      <c r="A19" s="6" t="s">
        <v>42</v>
      </c>
      <c r="B19" s="14" t="n">
        <f aca="false">Premissas!B8*Premissas!$B$19</f>
        <v>1500</v>
      </c>
      <c r="C19" s="14" t="n">
        <f aca="false">Premissas!C8*Premissas!$B$19</f>
        <v>1500</v>
      </c>
      <c r="D19" s="14" t="n">
        <f aca="false">Premissas!D8*Premissas!$B$19</f>
        <v>3000</v>
      </c>
      <c r="E19" s="14" t="n">
        <f aca="false">Premissas!E8*Premissas!$B$19</f>
        <v>3000</v>
      </c>
      <c r="F19" s="14" t="n">
        <f aca="false">Premissas!F8*Premissas!$B$19</f>
        <v>3000</v>
      </c>
      <c r="G19" s="14" t="n">
        <f aca="false">Premissas!G8*Premissas!$B$19</f>
        <v>4500</v>
      </c>
      <c r="H19" s="14" t="n">
        <f aca="false">Premissas!H8*Premissas!$B$19</f>
        <v>4500</v>
      </c>
      <c r="I19" s="14" t="n">
        <f aca="false">Premissas!I8*Premissas!$B$19</f>
        <v>4500</v>
      </c>
      <c r="J19" s="14" t="n">
        <f aca="false">Premissas!J8*Premissas!$B$19</f>
        <v>6000</v>
      </c>
      <c r="K19" s="14" t="n">
        <f aca="false">Premissas!K8*Premissas!$B$19</f>
        <v>6000</v>
      </c>
      <c r="L19" s="14" t="n">
        <f aca="false">Premissas!L8*Premissas!$B$19</f>
        <v>6000</v>
      </c>
      <c r="M19" s="14" t="n">
        <f aca="false">Premissas!M8*Premissas!$B$19</f>
        <v>7500</v>
      </c>
    </row>
    <row r="20" customFormat="false" ht="15" hidden="false" customHeight="false" outlineLevel="0" collapsed="false">
      <c r="A20" s="6" t="s">
        <v>43</v>
      </c>
      <c r="B20" s="14" t="n">
        <f aca="false">Premissas!B9*Premissas!$B$21</f>
        <v>0</v>
      </c>
      <c r="C20" s="14" t="n">
        <f aca="false">Premissas!C9*Premissas!$B$21</f>
        <v>0</v>
      </c>
      <c r="D20" s="14" t="n">
        <f aca="false">Premissas!D9*Premissas!$B$21</f>
        <v>4500</v>
      </c>
      <c r="E20" s="14" t="n">
        <f aca="false">Premissas!E9*Premissas!$B$21</f>
        <v>4500</v>
      </c>
      <c r="F20" s="14" t="n">
        <f aca="false">Premissas!F9*Premissas!$B$21</f>
        <v>4500</v>
      </c>
      <c r="G20" s="14" t="n">
        <f aca="false">Premissas!G9*Premissas!$B$21</f>
        <v>4500</v>
      </c>
      <c r="H20" s="14" t="n">
        <f aca="false">Premissas!H9*Premissas!$B$21</f>
        <v>4500</v>
      </c>
      <c r="I20" s="14" t="n">
        <f aca="false">Premissas!I9*Premissas!$B$21</f>
        <v>9000</v>
      </c>
      <c r="J20" s="14" t="n">
        <f aca="false">Premissas!J9*Premissas!$B$21</f>
        <v>9000</v>
      </c>
      <c r="K20" s="14" t="n">
        <f aca="false">Premissas!K9*Premissas!$B$21</f>
        <v>9000</v>
      </c>
      <c r="L20" s="14" t="n">
        <f aca="false">Premissas!L9*Premissas!$B$21</f>
        <v>9000</v>
      </c>
      <c r="M20" s="14" t="n">
        <f aca="false">Premissas!M9*Premissas!$B$21</f>
        <v>13500</v>
      </c>
    </row>
    <row r="21" customFormat="false" ht="15" hidden="false" customHeight="false" outlineLevel="0" collapsed="false">
      <c r="A21" s="8" t="s">
        <v>44</v>
      </c>
      <c r="B21" s="17" t="n">
        <f aca="false">B18+B19+B20</f>
        <v>1500</v>
      </c>
      <c r="C21" s="17" t="n">
        <f aca="false">C18+C19+C20</f>
        <v>1500</v>
      </c>
      <c r="D21" s="17" t="n">
        <f aca="false">D18+D19+D20</f>
        <v>7500</v>
      </c>
      <c r="E21" s="17" t="n">
        <f aca="false">E18+E19+E20</f>
        <v>7500</v>
      </c>
      <c r="F21" s="17" t="n">
        <f aca="false">F18+F19+F20</f>
        <v>7500</v>
      </c>
      <c r="G21" s="17" t="n">
        <f aca="false">G18+G19+G20</f>
        <v>9000</v>
      </c>
      <c r="H21" s="17" t="n">
        <f aca="false">H18+H19+H20</f>
        <v>9000</v>
      </c>
      <c r="I21" s="17" t="n">
        <f aca="false">I18+I19+I20</f>
        <v>13500</v>
      </c>
      <c r="J21" s="17" t="n">
        <f aca="false">J18+J19+J20</f>
        <v>15000</v>
      </c>
      <c r="K21" s="17" t="n">
        <f aca="false">K18+K19+K20</f>
        <v>15000</v>
      </c>
      <c r="L21" s="17" t="n">
        <f aca="false">L18+L19+L20</f>
        <v>15000</v>
      </c>
      <c r="M21" s="17" t="n">
        <f aca="false">M18+M19+M20</f>
        <v>21000</v>
      </c>
    </row>
    <row r="23" customFormat="false" ht="15" hidden="false" customHeight="false" outlineLevel="0" collapsed="false">
      <c r="A23" s="18" t="s">
        <v>45</v>
      </c>
      <c r="B23" s="19" t="n">
        <f aca="false">B15+B21</f>
        <v>3188</v>
      </c>
      <c r="C23" s="19" t="n">
        <f aca="false">C15+C21</f>
        <v>5225</v>
      </c>
      <c r="D23" s="19" t="n">
        <f aca="false">D15+D21</f>
        <v>16742</v>
      </c>
      <c r="E23" s="19" t="n">
        <f aca="false">E15+E21</f>
        <v>22608</v>
      </c>
      <c r="F23" s="19" t="n">
        <f aca="false">F15+F21</f>
        <v>28125</v>
      </c>
      <c r="G23" s="19" t="n">
        <f aca="false">G15+G21</f>
        <v>36481</v>
      </c>
      <c r="H23" s="19" t="n">
        <f aca="false">H15+H21</f>
        <v>42347</v>
      </c>
      <c r="I23" s="19" t="n">
        <f aca="false">I15+I21</f>
        <v>55552</v>
      </c>
      <c r="J23" s="19" t="n">
        <f aca="false">J15+J21</f>
        <v>66747</v>
      </c>
      <c r="K23" s="19" t="n">
        <f aca="false">K15+K21</f>
        <v>76442</v>
      </c>
      <c r="L23" s="19" t="n">
        <f aca="false">L15+L21</f>
        <v>83647</v>
      </c>
      <c r="M23" s="19" t="n">
        <f aca="false">M15+M21</f>
        <v>100681</v>
      </c>
    </row>
    <row r="24" customFormat="false" ht="15" hidden="false" customHeight="false" outlineLevel="0" collapsed="false">
      <c r="A24" s="20" t="s">
        <v>46</v>
      </c>
      <c r="B24" s="17" t="n">
        <f aca="false">B23</f>
        <v>3188</v>
      </c>
      <c r="C24" s="17" t="n">
        <f aca="false">B24+C23</f>
        <v>8413</v>
      </c>
      <c r="D24" s="17" t="n">
        <f aca="false">C24+D23</f>
        <v>25155</v>
      </c>
      <c r="E24" s="17" t="n">
        <f aca="false">D24+E23</f>
        <v>47763</v>
      </c>
      <c r="F24" s="17" t="n">
        <f aca="false">E24+F23</f>
        <v>75888</v>
      </c>
      <c r="G24" s="17" t="n">
        <f aca="false">F24+G23</f>
        <v>112369</v>
      </c>
      <c r="H24" s="17" t="n">
        <f aca="false">G24+H23</f>
        <v>154716</v>
      </c>
      <c r="I24" s="17" t="n">
        <f aca="false">H24+I23</f>
        <v>210268</v>
      </c>
      <c r="J24" s="17" t="n">
        <f aca="false">I24+J23</f>
        <v>277015</v>
      </c>
      <c r="K24" s="17" t="n">
        <f aca="false">J24+K23</f>
        <v>353457</v>
      </c>
      <c r="L24" s="17" t="n">
        <f aca="false">K24+L23</f>
        <v>437104</v>
      </c>
      <c r="M24" s="17" t="n">
        <f aca="false">L24+M23</f>
        <v>537785</v>
      </c>
    </row>
    <row r="25" customFormat="false" ht="15" hidden="false" customHeight="false" outlineLevel="0" collapsed="false">
      <c r="A25" s="8" t="s">
        <v>47</v>
      </c>
      <c r="B25" s="17" t="n">
        <f aca="false">B15*12</f>
        <v>20256</v>
      </c>
      <c r="C25" s="17" t="n">
        <f aca="false">C15*12</f>
        <v>44700</v>
      </c>
      <c r="D25" s="17" t="n">
        <f aca="false">D15*12</f>
        <v>110904</v>
      </c>
      <c r="E25" s="17" t="n">
        <f aca="false">E15*12</f>
        <v>181296</v>
      </c>
      <c r="F25" s="17" t="n">
        <f aca="false">F15*12</f>
        <v>247500</v>
      </c>
      <c r="G25" s="17" t="n">
        <f aca="false">G15*12</f>
        <v>329772</v>
      </c>
      <c r="H25" s="17" t="n">
        <f aca="false">H15*12</f>
        <v>400164</v>
      </c>
      <c r="I25" s="17" t="n">
        <f aca="false">I15*12</f>
        <v>504624</v>
      </c>
      <c r="J25" s="17" t="n">
        <f aca="false">J15*12</f>
        <v>620964</v>
      </c>
      <c r="K25" s="17" t="n">
        <f aca="false">K15*12</f>
        <v>737304</v>
      </c>
      <c r="L25" s="17" t="n">
        <f aca="false">L15*12</f>
        <v>823764</v>
      </c>
      <c r="M25" s="17" t="n">
        <f aca="false">M15*12</f>
        <v>956172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3" t="s">
        <v>49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15" hidden="false" customHeight="false" outlineLevel="0" collapsed="false">
      <c r="A4" s="6" t="s">
        <v>50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6" t="s">
        <v>51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customFormat="false" ht="15" hidden="false" customHeight="false" outlineLevel="0" collapsed="false">
      <c r="A6" s="6" t="s">
        <v>52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Format="false" ht="15" hidden="false" customHeight="false" outlineLevel="0" collapsed="false">
      <c r="A7" s="6" t="s">
        <v>53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customFormat="false" ht="15" hidden="false" customHeight="false" outlineLevel="0" collapsed="false">
      <c r="A8" s="6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6" t="s">
        <v>55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false" outlineLevel="0" collapsed="false">
      <c r="A10" s="6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5" hidden="false" customHeight="false" outlineLevel="0" collapsed="false">
      <c r="A11" s="6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customFormat="false" ht="15" hidden="false" customHeight="false" outlineLevel="0" collapsed="false">
      <c r="A12" s="6" t="s">
        <v>58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5" hidden="false" customHeight="false" outlineLevel="0" collapsed="false">
      <c r="A13" s="6" t="s">
        <v>59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2026-04-09T14:15:51Z</dcterms:created>
  <dc:creator>openpyxl</dc:creator>
  <dc:description/>
  <dc:language>en-US</dc:language>
  <cp:lastModifiedBy/>
  <dcterms:modified xsi:type="dcterms:W3CDTF">2026-04-09T14:15:51Z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